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0A32EF37-36AF-43A4-A303-2628B1D90F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<sst xmlns="http://schemas.openxmlformats.org/spreadsheetml/2006/main" count="12" uniqueCount="12">
  <si>
    <t>İl</t>
  </si>
  <si>
    <t>Sektor</t>
  </si>
  <si>
    <t>Mənfəət (mln)</t>
  </si>
  <si>
    <t>Zərər (mln)</t>
  </si>
  <si>
    <t>Orta Maaş (AZN)</t>
  </si>
  <si>
    <t>Zərərlik dərəcəsi</t>
  </si>
  <si>
    <t>Audit riski</t>
  </si>
  <si>
    <t>Sənaye</t>
  </si>
  <si>
    <t>Tikinti</t>
  </si>
  <si>
    <t>Ticarət</t>
  </si>
  <si>
    <t>Nəqliyyat</t>
  </si>
  <si>
    <t>İKT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</si>
</sst>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Orta Maaş (AZN)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Sheet1!$B$2:$B$6</c:f>
              <c:strCache>
                <c:ptCount val="5"/>
                <c:pt idx="0">
                  <c:v>Sənaye</c:v>
                </c:pt>
                <c:pt idx="1">
                  <c:v>Tikinti</c:v>
                </c:pt>
                <c:pt idx="2">
                  <c:v>Ticarət</c:v>
                </c:pt>
                <c:pt idx="3">
                  <c:v>Nəqliyyat</c:v>
                </c:pt>
                <c:pt idx="4">
                  <c:v>İKT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1141.2</c:v>
                </c:pt>
                <c:pt idx="1">
                  <c:v>868.9</c:v>
                </c:pt>
                <c:pt idx="2">
                  <c:v>486.2</c:v>
                </c:pt>
                <c:pt idx="3">
                  <c:v>973.8</c:v>
                </c:pt>
                <c:pt idx="4">
                  <c:v>1146.9000000000001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5-478A-B922-C7233781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7212808"/>
        <c:axId val="1267214856"/>
      </c:barChart>
      <c:catAx>
        <c:axId val="126721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14856"/>
        <c:crosses val="autoZero"/>
        <c:auto val="1"/>
        <c:lblAlgn val="ctr"/>
        <c:lblOffset val="100"/>
        <c:noMultiLvlLbl val="0"/>
      </c:catAx>
      <c:valAx>
        <c:axId val="126721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1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0</xdr:row>
      <xdr:rowOff>66675</xdr:rowOff>
    </xdr:from>
    <xdr:to>
      <xdr:col>14</xdr:col>
      <xdr:colOff>438150</xdr:colOff>
      <xdr:row>14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572A6E-E196-F61E-5F65-3C6FBB33B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:F6"/>
    </sheetView>
  </sheetViews>
  <sheetFormatPr defaultRowHeight="15"/>
  <cols>
    <col min="2" max="2" width="9.7109375" bestFit="1" customWidth="1"/>
    <col min="3" max="3" width="15.42578125" bestFit="1" customWidth="1"/>
    <col min="4" max="4" width="12.28515625" bestFit="1" customWidth="1"/>
    <col min="5" max="5" width="18" bestFit="1" customWidth="1"/>
    <col min="6" max="6" width="15.5703125" bestFit="1" customWidth="1"/>
    <col min="7" max="7" width="9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>
      <c r="A2" s="2">
        <v>2021</v>
      </c>
      <c r="B2" s="2" t="s">
        <v>7</v>
      </c>
      <c r="C2" s="2">
        <v>34288.5</v>
      </c>
      <c r="D2" s="2">
        <v>1318</v>
      </c>
      <c r="E2" s="2">
        <v>1141.2</v>
      </c>
      <c r="F2" s="4">
        <f>D2/C2</f>
        <v>3.8438543535004449E-2</v>
      </c>
      <c r="G2" t="str">
        <f>IF(F2 &gt; 0.15, "Yüksək", "Normal")</f>
        <v>Normal</v>
      </c>
    </row>
    <row r="3" spans="1:7">
      <c r="A3" s="2">
        <v>2021</v>
      </c>
      <c r="B3" s="2" t="s">
        <v>8</v>
      </c>
      <c r="C3" s="2">
        <v>2563.3000000000002</v>
      </c>
      <c r="D3" s="2">
        <v>251.1</v>
      </c>
      <c r="E3" s="2">
        <v>868.9</v>
      </c>
      <c r="F3" s="4">
        <f>D3/C3</f>
        <v>9.7959661374010062E-2</v>
      </c>
      <c r="G3" t="str">
        <f t="shared" ref="G3:G6" si="0">IF(F3 &gt; 0.15, "Yüksək", "Normal")</f>
        <v>Normal</v>
      </c>
    </row>
    <row r="4" spans="1:7">
      <c r="A4" s="2">
        <v>2021</v>
      </c>
      <c r="B4" s="2" t="s">
        <v>9</v>
      </c>
      <c r="C4" s="2">
        <v>1342.3</v>
      </c>
      <c r="D4" s="2">
        <v>107.4</v>
      </c>
      <c r="E4" s="2">
        <v>486.2</v>
      </c>
      <c r="F4" s="4">
        <f t="shared" ref="F3:F6" si="1">D4/C4</f>
        <v>8.001191983908218E-2</v>
      </c>
      <c r="G4" t="str">
        <f t="shared" si="0"/>
        <v>Normal</v>
      </c>
    </row>
    <row r="5" spans="1:7">
      <c r="A5" s="2">
        <v>2021</v>
      </c>
      <c r="B5" s="2" t="s">
        <v>10</v>
      </c>
      <c r="C5" s="2">
        <v>1111.4000000000001</v>
      </c>
      <c r="D5" s="2">
        <v>400.9</v>
      </c>
      <c r="E5" s="2">
        <v>973.8</v>
      </c>
      <c r="F5" s="4">
        <f t="shared" si="1"/>
        <v>0.36071621378441598</v>
      </c>
      <c r="G5" t="str">
        <f t="shared" si="0"/>
        <v>Yüksək</v>
      </c>
    </row>
    <row r="6" spans="1:7">
      <c r="A6" s="2">
        <v>2021</v>
      </c>
      <c r="B6" s="2" t="s">
        <v>11</v>
      </c>
      <c r="C6" s="2">
        <v>467.4</v>
      </c>
      <c r="D6" s="2">
        <v>74</v>
      </c>
      <c r="E6" s="2">
        <v>1146.9000000000001</v>
      </c>
      <c r="F6" s="4">
        <f t="shared" si="1"/>
        <v>0.15832263585793754</v>
      </c>
      <c r="G6" t="str">
        <f t="shared" si="0"/>
        <v>Yüksək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2026-03-07T13:56:54Z</dcterms:created>
  <dcterms:modified xsi:type="dcterms:W3CDTF">2026-03-07T17:37:36Z</dcterms:modified>
  <cp:category/>
  <cp:contentStatus/>
</cp:coreProperties>
</file>